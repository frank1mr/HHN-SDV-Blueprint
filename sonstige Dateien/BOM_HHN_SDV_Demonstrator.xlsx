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fc539bc6d732ce/Dokumente/Automotive Systems Engineering Bachelor/2025 SS/H20 Studienarbeit/08 BOM/"/>
    </mc:Choice>
  </mc:AlternateContent>
  <xr:revisionPtr revIDLastSave="471" documentId="14_{A5BF3F8B-AE33-E041-9A83-3DEC5F539E7F}" xr6:coauthVersionLast="47" xr6:coauthVersionMax="47" xr10:uidLastSave="{6BF201F9-03A5-40F4-9799-0880C69E9B8C}"/>
  <bookViews>
    <workbookView xWindow="-120" yWindow="-120" windowWidth="29040" windowHeight="15720" xr2:uid="{0FF57E85-A39C-4538-B6F6-31714D018E4B}"/>
  </bookViews>
  <sheets>
    <sheet name="BOM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3" l="1"/>
  <c r="E11" i="3"/>
  <c r="E33" i="3"/>
  <c r="E34" i="3"/>
  <c r="E12" i="3"/>
  <c r="E13" i="3"/>
  <c r="E27" i="3"/>
  <c r="E28" i="3"/>
  <c r="E29" i="3"/>
  <c r="E35" i="3"/>
  <c r="E36" i="3"/>
  <c r="E8" i="3"/>
  <c r="E9" i="3"/>
  <c r="E10" i="3"/>
  <c r="E37" i="3"/>
  <c r="E38" i="3"/>
  <c r="E15" i="3"/>
  <c r="E17" i="3"/>
  <c r="E18" i="3"/>
  <c r="E19" i="3"/>
  <c r="E20" i="3"/>
  <c r="E24" i="3"/>
  <c r="E14" i="3"/>
  <c r="E16" i="3"/>
  <c r="E30" i="3"/>
  <c r="E31" i="3"/>
  <c r="E21" i="3"/>
  <c r="E22" i="3"/>
  <c r="E23" i="3"/>
  <c r="E25" i="3"/>
  <c r="E32" i="3"/>
  <c r="E26" i="3"/>
</calcChain>
</file>

<file path=xl/sharedStrings.xml><?xml version="1.0" encoding="utf-8"?>
<sst xmlns="http://schemas.openxmlformats.org/spreadsheetml/2006/main" count="121" uniqueCount="90">
  <si>
    <t>Beschreibung</t>
  </si>
  <si>
    <t>Anzahl</t>
  </si>
  <si>
    <t>Preis Gesammt</t>
  </si>
  <si>
    <t>Preis p.S in €</t>
  </si>
  <si>
    <t>Raspberry Pi Shield - Display LCD-Touch</t>
  </si>
  <si>
    <t>BOM</t>
  </si>
  <si>
    <t xml:space="preserve">Raspberry Pi 5  8GB </t>
  </si>
  <si>
    <t>Raspberry Pi Shield - CAN-BUS</t>
  </si>
  <si>
    <t>TP-Link Switch, 8-Port, Fast Ethernet</t>
  </si>
  <si>
    <t>Displayhalterung</t>
  </si>
  <si>
    <t>Abdeckung Netzteil</t>
  </si>
  <si>
    <t>Gehäuse Netzwerkswitch</t>
  </si>
  <si>
    <t>Senkkopfschrauben M6x20mm</t>
  </si>
  <si>
    <t>CAN-Kabel Gelb-Weis verdrillt 10m</t>
  </si>
  <si>
    <t>CAN-Kabel Blau-Weis verdrillt 10m</t>
  </si>
  <si>
    <t>Versorgungskabel Rot-Schwarz verdrillt 15m</t>
  </si>
  <si>
    <t>Acrylgalsplatten 600x400mm</t>
  </si>
  <si>
    <t>Micro HDMI™ Kabel mit Ethernet (4K/60Hz), 0,5 m</t>
  </si>
  <si>
    <t> Sync- &amp; Ladekabel, USB-A -&gt; micro USB, 0,5 m </t>
  </si>
  <si>
    <t>0,5 m Cat.5e F/UTP-Netzwerkkabel, schwarz, RJ45 </t>
  </si>
  <si>
    <t>Adapter, HDMI Stecker auf HDMI Buchse, 90°, unten </t>
  </si>
  <si>
    <t xml:space="preserve">Spiralschlauch 4 - 50 mm , 10 m Schwarz </t>
  </si>
  <si>
    <t xml:space="preserve">Spiralschlauch 3 - 25 mm , 10 m Schwarz </t>
  </si>
  <si>
    <t xml:space="preserve">Füße Tisch Anschraubpuffer, Ø 22 mm, 11 mm, schwarz </t>
  </si>
  <si>
    <t>Geflechtband 2m</t>
  </si>
  <si>
    <t>Aderendhülse Ø 0,5 mm², Weiß</t>
  </si>
  <si>
    <t>Schaltnetzteil, geschlossen, 150 W, 12 V, 12,5 A</t>
  </si>
  <si>
    <t>n/a</t>
  </si>
  <si>
    <t>DC-DC Wandler 12V-5V Tobsun EA15-5V</t>
  </si>
  <si>
    <t>Senkkopfschrauben M4x16mm</t>
  </si>
  <si>
    <t>Hutmutter M4</t>
  </si>
  <si>
    <t>Unterlegscheibe M6</t>
  </si>
  <si>
    <t>Abstandshülse Kunststoff, Gewinde Innen/Außen M2,5 x 10mm (Set 1)</t>
  </si>
  <si>
    <t>Linsenkopfschraube Kunststoff M2,5 x 16mm (Set 1)</t>
  </si>
  <si>
    <t>Unterlegscheibe  Kunststoff (Set 1)</t>
  </si>
  <si>
    <t>Mutter Kunststoff M2,5 (Set 1)</t>
  </si>
  <si>
    <t>Abstandshalter Gewinde Innen/Innen M3</t>
  </si>
  <si>
    <t>Senkkopfschrauben M3x10</t>
  </si>
  <si>
    <t>Distanzmuffen sechskant 60 mm M6 Stahl verzinkt</t>
  </si>
  <si>
    <t>Plexiglas aufbau</t>
  </si>
  <si>
    <t>Stromversorgung</t>
  </si>
  <si>
    <t>Netzwerkverbindung</t>
  </si>
  <si>
    <t>CAN-Aufbau</t>
  </si>
  <si>
    <t>Kabelbaum zubehör</t>
  </si>
  <si>
    <t>Pos</t>
  </si>
  <si>
    <t>Funktion</t>
  </si>
  <si>
    <t>Kategorie</t>
  </si>
  <si>
    <t>3-D Druck Selbstentwurf</t>
  </si>
  <si>
    <t>Befestigung der Displays auf der oberen Plexiglasplatte</t>
  </si>
  <si>
    <t>Schutz und Abdeckung der Netzteilanschlüsse</t>
  </si>
  <si>
    <t>Mechanische Befestigung des Switches auf der Plexiglasplatte</t>
  </si>
  <si>
    <t>Abstandsausgleich unter den Schrauben</t>
  </si>
  <si>
    <t>Gegenstück zu M2,5-Schrauben, Fixierung auf der Platte</t>
  </si>
  <si>
    <t>Trägerebenen des mechanischen Aufbaus</t>
  </si>
  <si>
    <t>Rutschfeste Füße zur Aufstellung des Aufbaus</t>
  </si>
  <si>
    <t>Abstandshalter zwischen oberer und unterer Platte</t>
  </si>
  <si>
    <t>Schutz und Flächenverteilung bei M6-Verschraubung</t>
  </si>
  <si>
    <t>Verbindung der beiden Plexiglasplatten über die Distanzmuffen</t>
  </si>
  <si>
    <t>Zentrale Steuereinheit (Hauptrechner / HCP)</t>
  </si>
  <si>
    <t>Zonencontroller vorne und hinten</t>
  </si>
  <si>
    <t>Trägerplatine für Peripherieanschluss am Portenta</t>
  </si>
  <si>
    <t>CAN-Schnittstelle für Kommunikation mit Modulen</t>
  </si>
  <si>
    <t>Stromversorgung RPi + Komponenten (Step-down)</t>
  </si>
  <si>
    <t>Externe Spannungsversorgung</t>
  </si>
  <si>
    <t>Spannungswandlung für 5V-Komponenten (z. B. Pi, Displays)</t>
  </si>
  <si>
    <t>Verbindung von Pi und Zonencontrollern über Ethernet</t>
  </si>
  <si>
    <t>Datenverbindung zwischen RPi, Portenta und Switch</t>
  </si>
  <si>
    <t>Anzeige- und Bedieninterface</t>
  </si>
  <si>
    <t>Video- und Netzwerkverbindung zum Display</t>
  </si>
  <si>
    <t>Daten- und Stromverbindung für HAT oder andere Module</t>
  </si>
  <si>
    <t>Platzsparender Anschluss an Display</t>
  </si>
  <si>
    <t>Verbindung CAN-Bus Module hinten</t>
  </si>
  <si>
    <t>Verbindung CAN-Bus Module vorne</t>
  </si>
  <si>
    <t>Anschluss- und Sicherheitszubehör für Stromleitungen</t>
  </si>
  <si>
    <t>Schutz und Bündelung CAN- oder Stromleitungen</t>
  </si>
  <si>
    <t>Kabelschutz für längere Leitungsführung</t>
  </si>
  <si>
    <t>Hochflexibler Kabelschutz bei Bewegungsbereichen</t>
  </si>
  <si>
    <t>Montagehilfe für Pi/Portenta auf Acrylplatte</t>
  </si>
  <si>
    <t>Befestigung von Bauteilen (z. B. Netzteil, Switch)</t>
  </si>
  <si>
    <t>Spezialhalterung für flache Komponenten</t>
  </si>
  <si>
    <t>Befestigung kleinerer Halter, Displays, Platinen</t>
  </si>
  <si>
    <t>Preis Gesamt:</t>
  </si>
  <si>
    <t>Anzeige &amp; Benutzerinterface</t>
  </si>
  <si>
    <t>Controller &amp; Recheneinheiten</t>
  </si>
  <si>
    <t>M2,5 Nylon Schrauben Muttern Set 1</t>
  </si>
  <si>
    <t>Zubehör Rasberry Pi / Portenta</t>
  </si>
  <si>
    <t>Portenta HAT CARRIER</t>
  </si>
  <si>
    <t>Portenta H7</t>
  </si>
  <si>
    <t>Verschraubung Raspberry Pi und Portenta auf Platte</t>
  </si>
  <si>
    <t>Schraubverbindungen für RPi/Portenta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</si>
</sst>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2" fillId="0" borderId="0" xfId="1" applyFill="1" applyBorder="1"/>
    <xf numFmtId="16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0" fillId="0" borderId="4" xfId="0" applyBorder="1"/>
    <xf numFmtId="0" fontId="0" fillId="0" borderId="7" xfId="0" applyBorder="1" applyAlignment="1">
      <alignment horizontal="center"/>
    </xf>
    <xf numFmtId="0" fontId="4" fillId="0" borderId="0" xfId="0" applyFont="1"/>
    <xf numFmtId="0" fontId="4" fillId="0" borderId="2" xfId="0" applyFont="1" applyBorder="1"/>
  </cellXfs>
  <cellStyles count="2">
    <cellStyle name="Link" xfId="1" builtinId="8"/>
    <cellStyle name="Standard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,##0.00\ &quot;€&quot;"/>
    </dxf>
    <dxf>
      <numFmt numFmtId="164" formatCode="#,##0.00\ &quot;€&quot;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4B6B4-EA94-442A-9872-B01E25A7E43B}" name="Table1" displayName="Table1" ref="A4:G41" totalsRowShown="0" headerRowDxfId="7" tableBorderDxfId="6">
  <autoFilter ref="A4:G41" xr:uid="{B154B6B4-EA94-442A-9872-B01E25A7E43B}"/>
  <tableColumns count="7">
    <tableColumn id="1" xr3:uid="{308AF39E-A8FF-4091-B047-F5BF1D7D1693}" name="Pos" dataDxfId="5"/>
    <tableColumn id="2" xr3:uid="{5DA33157-B1FF-496B-9EDC-88B29152D197}" name="Anzahl" dataDxfId="4"/>
    <tableColumn id="3" xr3:uid="{8038715C-5E83-43A1-824D-C15FE621555F}" name="Beschreibung"/>
    <tableColumn id="4" xr3:uid="{1B0266E9-D3D4-4B93-AA70-AD35BF5C46D9}" name="Preis p.S in €" dataDxfId="3"/>
    <tableColumn id="5" xr3:uid="{53196C8E-1CC2-41F3-AC31-514827767847}" name="Preis Gesammt" dataDxfId="2"/>
    <tableColumn id="6" xr3:uid="{AE1C0AA3-9ABA-402B-A601-8ACE8902DB89}" name="Funktion" dataDxfId="1"/>
    <tableColumn id="7" xr3:uid="{A903ABF1-F880-44B1-9FBC-C1C2BE725EA1}" name="Kategorie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2640-9DE9-4FA9-A3EA-B34E2D985664}">
  <dimension ref="A1:M43"/>
  <sheetViews>
    <sheetView tabSelected="1" topLeftCell="A7" zoomScale="115" zoomScaleNormal="115" workbookViewId="0">
      <selection activeCell="C22" sqref="C22"/>
    </sheetView>
  </sheetViews>
  <sheetFormatPr baseColWidth="10" defaultColWidth="10.7109375" defaultRowHeight="15" x14ac:dyDescent="0.25"/>
  <cols>
    <col min="1" max="1" width="10.42578125" style="4" bestFit="1" customWidth="1"/>
    <col min="2" max="2" width="14.28515625" style="4" bestFit="1" customWidth="1"/>
    <col min="3" max="3" width="63.42578125" customWidth="1"/>
    <col min="4" max="4" width="20.140625" customWidth="1"/>
    <col min="5" max="5" width="24.85546875" customWidth="1"/>
    <col min="6" max="6" width="62" bestFit="1" customWidth="1"/>
    <col min="7" max="7" width="29" bestFit="1" customWidth="1"/>
    <col min="10" max="10" width="18.140625" customWidth="1"/>
    <col min="11" max="11" width="10.7109375" customWidth="1"/>
    <col min="12" max="12" width="11.28515625"/>
    <col min="13" max="13" width="25.7109375" customWidth="1"/>
    <col min="14" max="14" width="19.28515625" customWidth="1"/>
    <col min="15" max="15" width="37" customWidth="1"/>
    <col min="16" max="16" width="18.7109375" customWidth="1"/>
  </cols>
  <sheetData>
    <row r="1" spans="1:13" ht="15" customHeight="1" x14ac:dyDescent="0.25">
      <c r="A1" s="24" t="s">
        <v>5</v>
      </c>
      <c r="B1" s="24"/>
      <c r="C1" s="24"/>
      <c r="D1" s="24"/>
      <c r="E1" s="24"/>
      <c r="F1" s="24"/>
      <c r="G1" s="24"/>
    </row>
    <row r="2" spans="1:13" ht="15" customHeight="1" x14ac:dyDescent="0.25">
      <c r="A2" s="24"/>
      <c r="B2" s="24"/>
      <c r="C2" s="24"/>
      <c r="D2" s="24"/>
      <c r="E2" s="24"/>
      <c r="F2" s="24"/>
      <c r="G2" s="24"/>
    </row>
    <row r="3" spans="1:13" ht="15.95" customHeight="1" thickBot="1" x14ac:dyDescent="0.3">
      <c r="A3" s="25"/>
      <c r="B3" s="25"/>
      <c r="C3" s="25"/>
      <c r="D3" s="25"/>
      <c r="E3" s="25"/>
      <c r="F3" s="25"/>
      <c r="G3" s="25"/>
    </row>
    <row r="4" spans="1:13" s="16" customFormat="1" ht="18.75" x14ac:dyDescent="0.3">
      <c r="A4" s="13" t="s">
        <v>44</v>
      </c>
      <c r="B4" s="14" t="s">
        <v>1</v>
      </c>
      <c r="C4" s="15" t="s">
        <v>0</v>
      </c>
      <c r="D4" s="15" t="s">
        <v>3</v>
      </c>
      <c r="E4" s="15" t="s">
        <v>2</v>
      </c>
      <c r="F4" s="15" t="s">
        <v>45</v>
      </c>
      <c r="G4" s="15" t="s">
        <v>46</v>
      </c>
      <c r="H4" s="1"/>
    </row>
    <row r="5" spans="1:13" x14ac:dyDescent="0.25">
      <c r="A5" s="4">
        <v>1</v>
      </c>
      <c r="B5" s="3">
        <v>1</v>
      </c>
      <c r="C5" t="s">
        <v>9</v>
      </c>
      <c r="D5" s="7"/>
      <c r="E5" s="2"/>
      <c r="F5" s="4" t="s">
        <v>48</v>
      </c>
      <c r="G5" s="4" t="s">
        <v>47</v>
      </c>
      <c r="H5" s="1"/>
    </row>
    <row r="6" spans="1:13" x14ac:dyDescent="0.25">
      <c r="A6" s="4">
        <v>2</v>
      </c>
      <c r="B6" s="3">
        <v>1</v>
      </c>
      <c r="C6" t="s">
        <v>10</v>
      </c>
      <c r="D6" s="7"/>
      <c r="F6" s="4" t="s">
        <v>49</v>
      </c>
      <c r="G6" s="4" t="s">
        <v>47</v>
      </c>
      <c r="H6" s="1"/>
    </row>
    <row r="7" spans="1:13" ht="15.75" thickBot="1" x14ac:dyDescent="0.3">
      <c r="A7" s="9">
        <v>3</v>
      </c>
      <c r="B7" s="10">
        <v>1</v>
      </c>
      <c r="C7" s="11" t="s">
        <v>11</v>
      </c>
      <c r="D7" s="12"/>
      <c r="E7" s="11"/>
      <c r="F7" s="9" t="s">
        <v>50</v>
      </c>
      <c r="G7" s="9" t="s">
        <v>47</v>
      </c>
      <c r="H7" s="1"/>
    </row>
    <row r="8" spans="1:13" x14ac:dyDescent="0.25">
      <c r="A8" s="4">
        <v>4</v>
      </c>
      <c r="B8" s="3">
        <v>18</v>
      </c>
      <c r="C8" t="s">
        <v>33</v>
      </c>
      <c r="D8" s="7" t="s">
        <v>27</v>
      </c>
      <c r="E8" s="2">
        <f t="shared" ref="E8:E35" si="0">IFERROR(B8*D8,0)</f>
        <v>0</v>
      </c>
      <c r="F8" s="4" t="s">
        <v>88</v>
      </c>
      <c r="G8" s="4" t="s">
        <v>85</v>
      </c>
      <c r="H8" s="1"/>
      <c r="M8" s="5"/>
    </row>
    <row r="9" spans="1:13" x14ac:dyDescent="0.25">
      <c r="A9" s="4">
        <v>5</v>
      </c>
      <c r="B9" s="3">
        <v>18</v>
      </c>
      <c r="C9" t="s">
        <v>34</v>
      </c>
      <c r="D9" s="7" t="s">
        <v>27</v>
      </c>
      <c r="E9" s="2">
        <f t="shared" si="0"/>
        <v>0</v>
      </c>
      <c r="F9" s="4" t="s">
        <v>51</v>
      </c>
      <c r="G9" s="4" t="s">
        <v>85</v>
      </c>
      <c r="H9" s="1"/>
      <c r="M9" s="5"/>
    </row>
    <row r="10" spans="1:13" x14ac:dyDescent="0.25">
      <c r="A10" s="4">
        <v>6</v>
      </c>
      <c r="B10" s="3">
        <v>10</v>
      </c>
      <c r="C10" t="s">
        <v>35</v>
      </c>
      <c r="D10" s="7" t="s">
        <v>27</v>
      </c>
      <c r="E10" s="2">
        <f t="shared" si="0"/>
        <v>0</v>
      </c>
      <c r="F10" s="4" t="s">
        <v>52</v>
      </c>
      <c r="G10" s="4" t="s">
        <v>85</v>
      </c>
      <c r="H10" s="1"/>
      <c r="M10" s="5"/>
    </row>
    <row r="11" spans="1:13" ht="15.75" thickBot="1" x14ac:dyDescent="0.3">
      <c r="A11" s="9">
        <v>7</v>
      </c>
      <c r="B11" s="10">
        <v>1</v>
      </c>
      <c r="C11" s="11" t="s">
        <v>84</v>
      </c>
      <c r="D11" s="12">
        <v>7.98</v>
      </c>
      <c r="E11" s="11">
        <f t="shared" si="0"/>
        <v>7.98</v>
      </c>
      <c r="F11" s="9" t="s">
        <v>89</v>
      </c>
      <c r="G11" s="9" t="s">
        <v>85</v>
      </c>
      <c r="H11" s="1"/>
      <c r="M11" s="5"/>
    </row>
    <row r="12" spans="1:13" x14ac:dyDescent="0.25">
      <c r="A12" s="4">
        <v>8</v>
      </c>
      <c r="B12" s="3">
        <v>2</v>
      </c>
      <c r="C12" t="s">
        <v>16</v>
      </c>
      <c r="D12" s="7">
        <v>67.58</v>
      </c>
      <c r="E12" s="2">
        <f t="shared" si="0"/>
        <v>135.16</v>
      </c>
      <c r="F12" s="4" t="s">
        <v>53</v>
      </c>
      <c r="G12" s="4" t="s">
        <v>39</v>
      </c>
      <c r="H12" s="1"/>
      <c r="M12" s="6"/>
    </row>
    <row r="13" spans="1:13" x14ac:dyDescent="0.25">
      <c r="A13" s="4">
        <v>9</v>
      </c>
      <c r="B13" s="3">
        <v>9</v>
      </c>
      <c r="C13" t="s">
        <v>23</v>
      </c>
      <c r="D13" s="7">
        <v>0.79</v>
      </c>
      <c r="E13" s="2">
        <f t="shared" si="0"/>
        <v>7.11</v>
      </c>
      <c r="F13" s="4" t="s">
        <v>54</v>
      </c>
      <c r="G13" s="4" t="s">
        <v>39</v>
      </c>
      <c r="H13" s="1"/>
      <c r="M13" s="5"/>
    </row>
    <row r="14" spans="1:13" x14ac:dyDescent="0.25">
      <c r="A14" s="4">
        <v>10</v>
      </c>
      <c r="B14" s="3">
        <v>17</v>
      </c>
      <c r="C14" t="s">
        <v>38</v>
      </c>
      <c r="D14" s="7">
        <v>0.79</v>
      </c>
      <c r="E14" s="2">
        <f t="shared" si="0"/>
        <v>13.43</v>
      </c>
      <c r="F14" s="4" t="s">
        <v>55</v>
      </c>
      <c r="G14" s="4" t="s">
        <v>39</v>
      </c>
      <c r="H14" s="1"/>
    </row>
    <row r="15" spans="1:13" x14ac:dyDescent="0.25">
      <c r="A15" s="4">
        <v>11</v>
      </c>
      <c r="B15" s="3">
        <v>37</v>
      </c>
      <c r="C15" t="s">
        <v>31</v>
      </c>
      <c r="D15" s="7">
        <v>7.0000000000000007E-2</v>
      </c>
      <c r="E15" s="2">
        <f t="shared" si="0"/>
        <v>2.5900000000000003</v>
      </c>
      <c r="F15" s="4" t="s">
        <v>56</v>
      </c>
      <c r="G15" s="4" t="s">
        <v>39</v>
      </c>
      <c r="H15" s="1"/>
    </row>
    <row r="16" spans="1:13" ht="15.75" thickBot="1" x14ac:dyDescent="0.3">
      <c r="A16" s="9">
        <v>12</v>
      </c>
      <c r="B16" s="10">
        <v>34</v>
      </c>
      <c r="C16" s="11" t="s">
        <v>12</v>
      </c>
      <c r="D16" s="12">
        <v>3.23</v>
      </c>
      <c r="E16" s="11">
        <f t="shared" si="0"/>
        <v>109.82</v>
      </c>
      <c r="F16" s="9" t="s">
        <v>57</v>
      </c>
      <c r="G16" s="9" t="s">
        <v>39</v>
      </c>
      <c r="H16" s="1"/>
    </row>
    <row r="17" spans="1:13" x14ac:dyDescent="0.25">
      <c r="A17" s="4">
        <v>13</v>
      </c>
      <c r="B17" s="3">
        <v>2</v>
      </c>
      <c r="C17" t="s">
        <v>6</v>
      </c>
      <c r="D17" s="7">
        <v>84.9</v>
      </c>
      <c r="E17" s="2">
        <f t="shared" si="0"/>
        <v>169.8</v>
      </c>
      <c r="F17" s="4" t="s">
        <v>58</v>
      </c>
      <c r="G17" s="4" t="s">
        <v>83</v>
      </c>
      <c r="H17" s="1"/>
    </row>
    <row r="18" spans="1:13" x14ac:dyDescent="0.25">
      <c r="A18" s="4">
        <v>14</v>
      </c>
      <c r="B18" s="3">
        <v>2</v>
      </c>
      <c r="C18" t="s">
        <v>87</v>
      </c>
      <c r="D18" s="7">
        <v>120.8</v>
      </c>
      <c r="E18" s="2">
        <f t="shared" si="0"/>
        <v>241.6</v>
      </c>
      <c r="F18" s="4" t="s">
        <v>59</v>
      </c>
      <c r="G18" s="4" t="s">
        <v>83</v>
      </c>
      <c r="H18" s="1"/>
    </row>
    <row r="19" spans="1:13" x14ac:dyDescent="0.25">
      <c r="A19" s="4">
        <v>15</v>
      </c>
      <c r="B19" s="3">
        <v>2</v>
      </c>
      <c r="C19" t="s">
        <v>86</v>
      </c>
      <c r="D19" s="7">
        <v>47.6</v>
      </c>
      <c r="E19" s="2">
        <f t="shared" si="0"/>
        <v>95.2</v>
      </c>
      <c r="F19" s="4" t="s">
        <v>60</v>
      </c>
      <c r="G19" s="4" t="s">
        <v>83</v>
      </c>
      <c r="H19" s="1"/>
    </row>
    <row r="20" spans="1:13" ht="15.75" thickBot="1" x14ac:dyDescent="0.3">
      <c r="A20" s="9">
        <v>16</v>
      </c>
      <c r="B20" s="10">
        <v>2</v>
      </c>
      <c r="C20" s="11" t="s">
        <v>7</v>
      </c>
      <c r="D20" s="12">
        <v>81.3</v>
      </c>
      <c r="E20" s="11">
        <f t="shared" si="0"/>
        <v>162.6</v>
      </c>
      <c r="F20" s="9" t="s">
        <v>61</v>
      </c>
      <c r="G20" s="23" t="s">
        <v>83</v>
      </c>
      <c r="H20" s="1"/>
    </row>
    <row r="21" spans="1:13" x14ac:dyDescent="0.25">
      <c r="A21" s="4">
        <v>17</v>
      </c>
      <c r="B21" s="3">
        <v>1</v>
      </c>
      <c r="C21" t="s">
        <v>15</v>
      </c>
      <c r="D21" s="7">
        <v>5</v>
      </c>
      <c r="E21" s="2">
        <f t="shared" si="0"/>
        <v>5</v>
      </c>
      <c r="F21" s="4" t="s">
        <v>62</v>
      </c>
      <c r="G21" s="4" t="s">
        <v>40</v>
      </c>
      <c r="H21" s="1"/>
    </row>
    <row r="22" spans="1:13" x14ac:dyDescent="0.25">
      <c r="A22" s="4">
        <v>18</v>
      </c>
      <c r="B22" s="3">
        <v>1</v>
      </c>
      <c r="C22" t="s">
        <v>26</v>
      </c>
      <c r="D22" s="7">
        <v>17.5</v>
      </c>
      <c r="E22" s="2">
        <f t="shared" si="0"/>
        <v>17.5</v>
      </c>
      <c r="F22" s="4" t="s">
        <v>63</v>
      </c>
      <c r="G22" s="4" t="s">
        <v>40</v>
      </c>
      <c r="H22" s="1"/>
    </row>
    <row r="23" spans="1:13" ht="15.75" thickBot="1" x14ac:dyDescent="0.3">
      <c r="A23" s="9">
        <v>19</v>
      </c>
      <c r="B23" s="10">
        <v>1</v>
      </c>
      <c r="C23" s="11" t="s">
        <v>28</v>
      </c>
      <c r="D23" s="12" t="s">
        <v>27</v>
      </c>
      <c r="E23" s="11">
        <f t="shared" si="0"/>
        <v>0</v>
      </c>
      <c r="F23" s="9" t="s">
        <v>64</v>
      </c>
      <c r="G23" s="9" t="s">
        <v>40</v>
      </c>
      <c r="H23" s="1"/>
    </row>
    <row r="24" spans="1:13" x14ac:dyDescent="0.25">
      <c r="A24" s="4">
        <v>20</v>
      </c>
      <c r="B24" s="3">
        <v>1</v>
      </c>
      <c r="C24" t="s">
        <v>8</v>
      </c>
      <c r="D24" s="7">
        <v>11.95</v>
      </c>
      <c r="E24" s="2">
        <f t="shared" si="0"/>
        <v>11.95</v>
      </c>
      <c r="F24" s="4" t="s">
        <v>65</v>
      </c>
      <c r="G24" s="4" t="s">
        <v>41</v>
      </c>
      <c r="H24" s="1"/>
    </row>
    <row r="25" spans="1:13" ht="15.75" thickBot="1" x14ac:dyDescent="0.3">
      <c r="A25" s="9">
        <v>21</v>
      </c>
      <c r="B25" s="10">
        <v>4</v>
      </c>
      <c r="C25" s="11" t="s">
        <v>19</v>
      </c>
      <c r="D25" s="12">
        <v>1.1000000000000001</v>
      </c>
      <c r="E25" s="11">
        <f t="shared" si="0"/>
        <v>4.4000000000000004</v>
      </c>
      <c r="F25" s="9" t="s">
        <v>66</v>
      </c>
      <c r="G25" s="9" t="s">
        <v>41</v>
      </c>
      <c r="H25" s="1"/>
    </row>
    <row r="26" spans="1:13" x14ac:dyDescent="0.25">
      <c r="A26" s="4">
        <v>22</v>
      </c>
      <c r="B26" s="3">
        <v>2</v>
      </c>
      <c r="C26" t="s">
        <v>4</v>
      </c>
      <c r="D26" s="7">
        <v>59.5</v>
      </c>
      <c r="E26" s="2">
        <f t="shared" si="0"/>
        <v>119</v>
      </c>
      <c r="F26" s="4" t="s">
        <v>67</v>
      </c>
      <c r="G26" s="4" t="s">
        <v>82</v>
      </c>
      <c r="H26" s="1"/>
    </row>
    <row r="27" spans="1:13" x14ac:dyDescent="0.25">
      <c r="A27" s="4">
        <v>23</v>
      </c>
      <c r="B27" s="3">
        <v>2</v>
      </c>
      <c r="C27" t="s">
        <v>17</v>
      </c>
      <c r="D27" s="7">
        <v>3.7</v>
      </c>
      <c r="E27" s="2">
        <f t="shared" si="0"/>
        <v>7.4</v>
      </c>
      <c r="F27" s="4" t="s">
        <v>68</v>
      </c>
      <c r="G27" s="4" t="s">
        <v>82</v>
      </c>
      <c r="H27" s="1"/>
      <c r="M27" s="5"/>
    </row>
    <row r="28" spans="1:13" x14ac:dyDescent="0.25">
      <c r="A28" s="4">
        <v>24</v>
      </c>
      <c r="B28" s="3">
        <v>2</v>
      </c>
      <c r="C28" t="s">
        <v>18</v>
      </c>
      <c r="D28" s="7">
        <v>1.39</v>
      </c>
      <c r="E28" s="2">
        <f t="shared" si="0"/>
        <v>2.78</v>
      </c>
      <c r="F28" s="4" t="s">
        <v>69</v>
      </c>
      <c r="G28" s="4" t="s">
        <v>82</v>
      </c>
      <c r="H28" s="1"/>
      <c r="M28" s="5"/>
    </row>
    <row r="29" spans="1:13" ht="15.75" thickBot="1" x14ac:dyDescent="0.3">
      <c r="A29" s="9">
        <v>25</v>
      </c>
      <c r="B29" s="10">
        <v>2</v>
      </c>
      <c r="C29" s="11" t="s">
        <v>20</v>
      </c>
      <c r="D29" s="12">
        <v>2.95</v>
      </c>
      <c r="E29" s="11">
        <f t="shared" si="0"/>
        <v>5.9</v>
      </c>
      <c r="F29" s="9" t="s">
        <v>70</v>
      </c>
      <c r="G29" s="9" t="s">
        <v>82</v>
      </c>
      <c r="H29" s="1"/>
      <c r="M29" s="5"/>
    </row>
    <row r="30" spans="1:13" x14ac:dyDescent="0.25">
      <c r="A30" s="4">
        <v>26</v>
      </c>
      <c r="B30" s="3">
        <v>1</v>
      </c>
      <c r="C30" t="s">
        <v>13</v>
      </c>
      <c r="D30" s="7">
        <v>3</v>
      </c>
      <c r="E30" s="2">
        <f t="shared" si="0"/>
        <v>3</v>
      </c>
      <c r="F30" s="4" t="s">
        <v>71</v>
      </c>
      <c r="G30" s="4" t="s">
        <v>42</v>
      </c>
      <c r="H30" s="1"/>
    </row>
    <row r="31" spans="1:13" ht="15.75" thickBot="1" x14ac:dyDescent="0.3">
      <c r="A31" s="9">
        <v>27</v>
      </c>
      <c r="B31" s="10">
        <v>1</v>
      </c>
      <c r="C31" s="11" t="s">
        <v>14</v>
      </c>
      <c r="D31" s="12">
        <v>3</v>
      </c>
      <c r="E31" s="11">
        <f t="shared" si="0"/>
        <v>3</v>
      </c>
      <c r="F31" s="9" t="s">
        <v>72</v>
      </c>
      <c r="G31" s="9" t="s">
        <v>42</v>
      </c>
      <c r="H31" s="1"/>
    </row>
    <row r="32" spans="1:13" x14ac:dyDescent="0.25">
      <c r="A32" s="4">
        <v>28</v>
      </c>
      <c r="B32" s="3">
        <v>118</v>
      </c>
      <c r="C32" t="s">
        <v>25</v>
      </c>
      <c r="D32" s="7">
        <v>0.12</v>
      </c>
      <c r="E32" s="2">
        <f t="shared" si="0"/>
        <v>14.16</v>
      </c>
      <c r="F32" s="4" t="s">
        <v>73</v>
      </c>
      <c r="G32" s="4" t="s">
        <v>43</v>
      </c>
      <c r="H32" s="1"/>
    </row>
    <row r="33" spans="1:13" x14ac:dyDescent="0.25">
      <c r="A33" s="4">
        <v>29</v>
      </c>
      <c r="B33" s="3">
        <v>1</v>
      </c>
      <c r="C33" t="s">
        <v>21</v>
      </c>
      <c r="D33" s="7">
        <v>2.75</v>
      </c>
      <c r="E33" s="2">
        <f t="shared" si="0"/>
        <v>2.75</v>
      </c>
      <c r="F33" s="4" t="s">
        <v>74</v>
      </c>
      <c r="G33" s="4" t="s">
        <v>43</v>
      </c>
      <c r="H33" s="1"/>
    </row>
    <row r="34" spans="1:13" x14ac:dyDescent="0.25">
      <c r="A34" s="4">
        <v>30</v>
      </c>
      <c r="B34" s="3">
        <v>1</v>
      </c>
      <c r="C34" t="s">
        <v>22</v>
      </c>
      <c r="D34" s="7">
        <v>2.5</v>
      </c>
      <c r="E34" s="2">
        <f t="shared" si="0"/>
        <v>2.5</v>
      </c>
      <c r="F34" s="4" t="s">
        <v>75</v>
      </c>
      <c r="G34" s="4" t="s">
        <v>43</v>
      </c>
      <c r="H34" s="1"/>
      <c r="M34" s="6"/>
    </row>
    <row r="35" spans="1:13" ht="15.75" thickBot="1" x14ac:dyDescent="0.3">
      <c r="A35" s="9">
        <v>31</v>
      </c>
      <c r="B35" s="10">
        <v>1</v>
      </c>
      <c r="C35" s="11" t="s">
        <v>24</v>
      </c>
      <c r="D35" s="12">
        <v>0</v>
      </c>
      <c r="E35" s="11">
        <f t="shared" si="0"/>
        <v>0</v>
      </c>
      <c r="F35" s="9" t="s">
        <v>76</v>
      </c>
      <c r="G35" s="9" t="s">
        <v>43</v>
      </c>
      <c r="H35" s="1"/>
      <c r="M35" s="5"/>
    </row>
    <row r="36" spans="1:13" ht="14.25" customHeight="1" x14ac:dyDescent="0.25">
      <c r="A36" s="4">
        <v>32</v>
      </c>
      <c r="B36" s="3">
        <v>16</v>
      </c>
      <c r="C36" s="8" t="s">
        <v>32</v>
      </c>
      <c r="D36" s="7" t="s">
        <v>27</v>
      </c>
      <c r="E36" s="2">
        <f t="shared" ref="E36:E38" si="1">IFERROR(B36*D36,0)</f>
        <v>0</v>
      </c>
      <c r="F36" s="4" t="s">
        <v>77</v>
      </c>
      <c r="G36" s="4" t="s">
        <v>39</v>
      </c>
      <c r="H36" s="1"/>
      <c r="M36" s="5"/>
    </row>
    <row r="37" spans="1:13" x14ac:dyDescent="0.25">
      <c r="A37" s="4">
        <v>33</v>
      </c>
      <c r="B37" s="3">
        <v>3</v>
      </c>
      <c r="C37" t="s">
        <v>29</v>
      </c>
      <c r="D37" s="7">
        <v>0.1</v>
      </c>
      <c r="E37" s="2">
        <f t="shared" si="1"/>
        <v>0.30000000000000004</v>
      </c>
      <c r="F37" s="4" t="s">
        <v>78</v>
      </c>
      <c r="G37" s="4" t="s">
        <v>39</v>
      </c>
      <c r="H37" s="1"/>
      <c r="M37" s="5"/>
    </row>
    <row r="38" spans="1:13" x14ac:dyDescent="0.25">
      <c r="A38" s="4">
        <v>34</v>
      </c>
      <c r="B38" s="3">
        <v>3</v>
      </c>
      <c r="C38" t="s">
        <v>30</v>
      </c>
      <c r="D38" s="7">
        <v>0.49</v>
      </c>
      <c r="E38" s="2">
        <f t="shared" si="1"/>
        <v>1.47</v>
      </c>
      <c r="F38" s="4" t="s">
        <v>79</v>
      </c>
      <c r="G38" s="4" t="s">
        <v>39</v>
      </c>
      <c r="H38" s="1"/>
      <c r="M38" s="5"/>
    </row>
    <row r="39" spans="1:13" x14ac:dyDescent="0.25">
      <c r="A39" s="4">
        <v>35</v>
      </c>
      <c r="B39" s="3">
        <v>72</v>
      </c>
      <c r="C39" t="s">
        <v>36</v>
      </c>
      <c r="D39" s="7"/>
      <c r="E39" s="2"/>
      <c r="F39" s="4" t="s">
        <v>80</v>
      </c>
      <c r="G39" s="4" t="s">
        <v>39</v>
      </c>
      <c r="H39" s="1"/>
      <c r="M39" s="5"/>
    </row>
    <row r="40" spans="1:13" ht="15.75" thickBot="1" x14ac:dyDescent="0.3">
      <c r="A40" s="9">
        <v>36</v>
      </c>
      <c r="B40" s="10">
        <v>72</v>
      </c>
      <c r="C40" s="11" t="s">
        <v>37</v>
      </c>
      <c r="D40" s="12"/>
      <c r="E40" s="11"/>
      <c r="F40" s="9"/>
      <c r="G40" s="9" t="s">
        <v>39</v>
      </c>
      <c r="H40" s="1"/>
      <c r="M40" s="5"/>
    </row>
    <row r="41" spans="1:13" ht="15.75" thickBot="1" x14ac:dyDescent="0.3">
      <c r="A41" s="17"/>
      <c r="B41" s="18"/>
      <c r="C41" s="19"/>
      <c r="D41" s="20" t="s">
        <v>81</v>
      </c>
      <c r="E41" s="21">
        <f>SUM(E5:E40)</f>
        <v>1146.4000000000003</v>
      </c>
      <c r="F41" s="17"/>
      <c r="G41" s="22"/>
      <c r="H41" s="1"/>
    </row>
    <row r="43" spans="1:13" x14ac:dyDescent="0.25">
      <c r="E43" s="2"/>
    </row>
  </sheetData>
  <mergeCells count="1">
    <mergeCell ref="A1:G3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Engelmann</dc:creator>
  <cp:lastModifiedBy>Frank Mayer</cp:lastModifiedBy>
  <dcterms:created xsi:type="dcterms:W3CDTF">2023-05-29T16:56:50Z</dcterms:created>
  <dcterms:modified xsi:type="dcterms:W3CDTF">2025-07-01T12:25:57Z</dcterms:modified>
</cp:coreProperties>
</file>